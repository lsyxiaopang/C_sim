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haijie/Desktop/"/>
    </mc:Choice>
  </mc:AlternateContent>
  <xr:revisionPtr revIDLastSave="0" documentId="8_{490A3339-C638-354D-8033-0D712A7510EB}" xr6:coauthVersionLast="47" xr6:coauthVersionMax="47" xr10:uidLastSave="{00000000-0000-0000-0000-000000000000}"/>
  <bookViews>
    <workbookView xWindow="2640" yWindow="3020" windowWidth="25380" windowHeight="15940" xr2:uid="{62FD9244-0907-F74E-9026-623DF474A6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1" l="1"/>
  <c r="V10" i="1"/>
  <c r="V11" i="1"/>
  <c r="V4" i="1"/>
  <c r="V5" i="1"/>
  <c r="V6" i="1"/>
  <c r="V3" i="1"/>
</calcChain>
</file>

<file path=xl/sharedStrings.xml><?xml version="1.0" encoding="utf-8"?>
<sst xmlns="http://schemas.openxmlformats.org/spreadsheetml/2006/main" count="15" uniqueCount="8">
  <si>
    <t>noqutify</t>
    <phoneticPr fontId="2" type="noConversion"/>
  </si>
  <si>
    <t>SFA</t>
    <phoneticPr fontId="2" type="noConversion"/>
  </si>
  <si>
    <t>BM</t>
    <phoneticPr fontId="2" type="noConversion"/>
  </si>
  <si>
    <t>SFA with Bound</t>
    <phoneticPr fontId="2" type="noConversion"/>
  </si>
  <si>
    <t xml:space="preserve">BM </t>
    <phoneticPr fontId="2" type="noConversion"/>
  </si>
  <si>
    <t>Bm with relax</t>
    <phoneticPr fontId="2" type="noConversion"/>
  </si>
  <si>
    <t>37 37 38</t>
    <phoneticPr fontId="2" type="noConversion"/>
  </si>
  <si>
    <t>47 47 48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</si>
</sst>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1C00CF"/>
      <name val="Menlo"/>
      <family val="2"/>
    </font>
    <font>
      <sz val="12"/>
      <color rgb="FF000000"/>
      <name val="Menlo"/>
      <family val="2"/>
    </font>
    <font>
      <sz val="12"/>
      <color rgb="FFCCCCCC"/>
      <name val="Menlo"/>
      <family val="2"/>
    </font>
    <font>
      <sz val="12"/>
      <color rgb="FFFF0000"/>
      <name val="Menlo"/>
      <family val="2"/>
    </font>
    <font>
      <sz val="12"/>
      <color rgb="FFFFFFFF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1" fontId="4" fillId="0" borderId="0" xfId="0" applyNumberFormat="1" applyFont="1">
      <alignment vertical="center"/>
    </xf>
    <xf numFmtId="11" fontId="7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75FA-977D-5A44-86A3-2A0693996727}">
  <dimension ref="A1:V29"/>
  <sheetViews>
    <sheetView tabSelected="1" topLeftCell="E16" zoomScaleNormal="100" workbookViewId="0">
      <selection activeCell="Q20" sqref="Q20"/>
    </sheetView>
  </sheetViews>
  <sheetFormatPr baseColWidth="10" defaultRowHeight="16"/>
  <cols>
    <col min="1" max="1" width="16.1640625" bestFit="1" customWidth="1"/>
    <col min="2" max="3" width="12.6640625" bestFit="1" customWidth="1"/>
    <col min="4" max="4" width="11.5" bestFit="1" customWidth="1"/>
    <col min="5" max="5" width="12.5" bestFit="1" customWidth="1"/>
    <col min="6" max="21" width="15.6640625" bestFit="1" customWidth="1"/>
    <col min="22" max="22" width="11.1640625" bestFit="1" customWidth="1"/>
  </cols>
  <sheetData>
    <row r="1" spans="1:22">
      <c r="A1" t="s">
        <v>0</v>
      </c>
    </row>
    <row r="2" spans="1:22">
      <c r="A2" t="s">
        <v>1</v>
      </c>
      <c r="B2" s="4">
        <v>224353093</v>
      </c>
      <c r="C2" s="4">
        <v>159483767</v>
      </c>
      <c r="D2" s="3">
        <v>98839357</v>
      </c>
      <c r="E2">
        <v>158465501</v>
      </c>
      <c r="F2" s="3">
        <v>148884293</v>
      </c>
      <c r="G2" s="3">
        <v>76949737</v>
      </c>
      <c r="H2" s="3">
        <v>116811017</v>
      </c>
      <c r="I2" s="3">
        <v>180863911</v>
      </c>
      <c r="J2" s="3">
        <v>161766769</v>
      </c>
      <c r="K2" s="3">
        <v>121299623</v>
      </c>
      <c r="L2" s="3">
        <v>197511997</v>
      </c>
      <c r="M2" s="3">
        <v>168836131</v>
      </c>
      <c r="N2" s="3">
        <v>175200019</v>
      </c>
      <c r="O2" s="3">
        <v>79668997</v>
      </c>
      <c r="P2" s="3">
        <v>140253577</v>
      </c>
      <c r="Q2" s="3">
        <v>181627717</v>
      </c>
      <c r="R2" s="3">
        <v>207313741</v>
      </c>
      <c r="S2" s="1">
        <v>145154767</v>
      </c>
      <c r="T2" s="3">
        <v>171533377</v>
      </c>
      <c r="U2" s="3">
        <v>199428869</v>
      </c>
    </row>
    <row r="3" spans="1:22">
      <c r="B3" s="2">
        <v>16347</v>
      </c>
      <c r="C3" s="2">
        <v>8766</v>
      </c>
      <c r="D3" s="2">
        <v>63459</v>
      </c>
      <c r="E3" s="2">
        <v>343208</v>
      </c>
      <c r="F3" s="2">
        <v>88510</v>
      </c>
      <c r="G3" s="2">
        <v>21250</v>
      </c>
      <c r="H3" s="2">
        <v>147701</v>
      </c>
      <c r="I3" s="2">
        <v>83193</v>
      </c>
      <c r="J3" s="2">
        <v>289943</v>
      </c>
      <c r="K3" s="2">
        <v>15275</v>
      </c>
      <c r="L3" s="2">
        <v>10814</v>
      </c>
      <c r="M3" s="2">
        <v>228827</v>
      </c>
      <c r="N3" s="2">
        <v>39159</v>
      </c>
      <c r="O3" s="2">
        <v>49316</v>
      </c>
      <c r="P3" s="2">
        <v>203283</v>
      </c>
      <c r="Q3" s="2">
        <v>52093</v>
      </c>
      <c r="R3" s="2">
        <v>47330</v>
      </c>
      <c r="S3" s="2">
        <v>47494</v>
      </c>
      <c r="T3" s="2">
        <v>26510</v>
      </c>
      <c r="U3" s="2">
        <v>25266</v>
      </c>
      <c r="V3">
        <f>AVERAGE(B3:U3)</f>
        <v>90387.199999999997</v>
      </c>
    </row>
    <row r="4" spans="1:22">
      <c r="A4" t="s">
        <v>2</v>
      </c>
      <c r="B4">
        <v>121825</v>
      </c>
      <c r="C4" s="2">
        <v>320640</v>
      </c>
      <c r="D4" s="2">
        <v>665885</v>
      </c>
      <c r="E4" s="2">
        <v>355167</v>
      </c>
      <c r="F4" s="2">
        <v>417156</v>
      </c>
      <c r="G4" s="2">
        <v>679922</v>
      </c>
      <c r="H4" s="2">
        <v>580314</v>
      </c>
      <c r="I4" s="2">
        <v>329698</v>
      </c>
      <c r="J4" s="2">
        <v>346280</v>
      </c>
      <c r="K4" s="2">
        <v>485783</v>
      </c>
      <c r="L4">
        <v>176847</v>
      </c>
      <c r="M4" s="2">
        <v>358476</v>
      </c>
      <c r="N4" s="2">
        <v>321335</v>
      </c>
      <c r="O4" s="2">
        <v>805628</v>
      </c>
      <c r="P4" s="2">
        <v>420930</v>
      </c>
      <c r="Q4" s="2">
        <v>271695</v>
      </c>
      <c r="R4" s="2">
        <v>170306</v>
      </c>
      <c r="S4" s="2">
        <v>357642</v>
      </c>
      <c r="T4" s="2">
        <v>269919</v>
      </c>
      <c r="U4" s="2">
        <v>200821</v>
      </c>
      <c r="V4">
        <f>AVERAGE(B4:U4)</f>
        <v>382813.45</v>
      </c>
    </row>
    <row r="5" spans="1:22">
      <c r="A5" t="s">
        <v>3</v>
      </c>
      <c r="B5" s="2">
        <v>15404</v>
      </c>
      <c r="C5" s="2">
        <v>7838</v>
      </c>
      <c r="D5" s="2">
        <v>56667</v>
      </c>
      <c r="E5" s="2">
        <v>379298</v>
      </c>
      <c r="F5" s="2">
        <v>116422</v>
      </c>
      <c r="G5" s="2">
        <v>32661</v>
      </c>
      <c r="H5" s="2">
        <v>151204</v>
      </c>
      <c r="I5" s="2">
        <v>75496</v>
      </c>
      <c r="J5" s="2">
        <v>255496</v>
      </c>
      <c r="K5">
        <v>11815</v>
      </c>
      <c r="L5" s="2">
        <v>7703</v>
      </c>
      <c r="M5" s="2">
        <v>260852</v>
      </c>
      <c r="N5">
        <v>25579</v>
      </c>
      <c r="O5" s="2">
        <v>56213</v>
      </c>
      <c r="P5" s="2">
        <v>262925</v>
      </c>
      <c r="Q5">
        <v>36992</v>
      </c>
      <c r="R5" s="2">
        <v>48990</v>
      </c>
      <c r="S5" s="2">
        <v>39105</v>
      </c>
      <c r="T5">
        <v>24798</v>
      </c>
      <c r="U5" s="2">
        <v>41877</v>
      </c>
      <c r="V5">
        <f>AVERAGE(B5:U5)</f>
        <v>95366.75</v>
      </c>
    </row>
    <row r="6" spans="1:22">
      <c r="A6" t="s">
        <v>4</v>
      </c>
      <c r="B6" s="2">
        <v>188457</v>
      </c>
      <c r="C6" s="2">
        <v>357094</v>
      </c>
      <c r="D6" s="2">
        <v>412172</v>
      </c>
      <c r="E6" s="2">
        <v>378539</v>
      </c>
      <c r="F6" s="2">
        <v>503328</v>
      </c>
      <c r="G6" s="2">
        <v>895537</v>
      </c>
      <c r="H6" s="2">
        <v>236733</v>
      </c>
      <c r="I6" s="2">
        <v>253647</v>
      </c>
      <c r="J6" s="2">
        <v>185023</v>
      </c>
      <c r="K6" s="2">
        <v>288488</v>
      </c>
      <c r="L6" s="2">
        <v>114757</v>
      </c>
      <c r="M6" s="2">
        <v>366988</v>
      </c>
      <c r="N6" s="2">
        <v>206535</v>
      </c>
      <c r="O6" s="2">
        <v>701821</v>
      </c>
      <c r="P6" s="2">
        <v>386606</v>
      </c>
      <c r="Q6" s="2">
        <v>230036</v>
      </c>
      <c r="R6" s="2">
        <v>199122</v>
      </c>
      <c r="S6" s="2">
        <v>345549</v>
      </c>
      <c r="T6" s="2">
        <v>134241</v>
      </c>
      <c r="U6" s="2">
        <v>323448</v>
      </c>
      <c r="V6">
        <f>AVERAGE(B6:U6)</f>
        <v>335406.05</v>
      </c>
    </row>
    <row r="9" spans="1:22">
      <c r="A9" t="s">
        <v>5</v>
      </c>
      <c r="C9" s="2"/>
      <c r="D9" s="2"/>
      <c r="E9" s="2"/>
      <c r="F9" s="2"/>
      <c r="G9" s="2"/>
      <c r="N9" s="2"/>
      <c r="Q9" s="2"/>
      <c r="R9" s="2"/>
      <c r="S9" s="2"/>
      <c r="T9" s="2"/>
      <c r="U9" s="2"/>
    </row>
    <row r="10" spans="1:22">
      <c r="A10" t="s">
        <v>6</v>
      </c>
      <c r="B10" s="2">
        <v>15451</v>
      </c>
      <c r="C10" s="2">
        <v>35532</v>
      </c>
      <c r="D10" s="2">
        <v>21505</v>
      </c>
      <c r="E10" s="2">
        <v>199404</v>
      </c>
      <c r="F10" s="2">
        <v>552847</v>
      </c>
      <c r="G10">
        <v>102742</v>
      </c>
      <c r="H10" s="2">
        <v>75740</v>
      </c>
      <c r="I10">
        <v>81283</v>
      </c>
      <c r="J10" s="2">
        <v>34748</v>
      </c>
      <c r="K10" s="2">
        <v>26121</v>
      </c>
      <c r="L10" s="2">
        <v>5187</v>
      </c>
      <c r="M10" s="2">
        <v>87706</v>
      </c>
      <c r="N10" s="2">
        <v>21097</v>
      </c>
      <c r="O10" s="2">
        <v>82706</v>
      </c>
      <c r="P10" s="2">
        <v>266396</v>
      </c>
      <c r="Q10" s="2">
        <v>77555</v>
      </c>
      <c r="R10" s="2">
        <v>32034</v>
      </c>
      <c r="S10" s="5">
        <v>1224730</v>
      </c>
      <c r="T10" s="2">
        <v>9550</v>
      </c>
      <c r="U10" s="2">
        <v>68846</v>
      </c>
      <c r="V10">
        <f t="shared" ref="V7:V20" si="0">AVERAGE(B10:U10)</f>
        <v>151059</v>
      </c>
    </row>
    <row r="11" spans="1:22">
      <c r="A11" t="s">
        <v>7</v>
      </c>
      <c r="O11" s="2">
        <v>708520</v>
      </c>
      <c r="P11" s="2">
        <v>355568</v>
      </c>
      <c r="Q11" s="2">
        <v>292164</v>
      </c>
      <c r="R11" s="2">
        <v>212640</v>
      </c>
      <c r="S11" s="2">
        <v>328862</v>
      </c>
      <c r="T11" s="2">
        <v>151775</v>
      </c>
      <c r="U11" s="2">
        <v>377171</v>
      </c>
      <c r="V11">
        <f t="shared" si="0"/>
        <v>346671.42857142858</v>
      </c>
    </row>
    <row r="19" spans="1:22" s="7" customFormat="1">
      <c r="B19" s="4">
        <v>541705699</v>
      </c>
      <c r="C19" s="4">
        <v>400174933</v>
      </c>
      <c r="D19" s="7">
        <v>491002333</v>
      </c>
      <c r="E19" s="4">
        <v>395507447</v>
      </c>
      <c r="F19" s="4">
        <v>564288481</v>
      </c>
      <c r="G19" s="4">
        <v>420081173</v>
      </c>
      <c r="H19" s="4">
        <v>759240389</v>
      </c>
      <c r="I19" s="4">
        <v>403183063</v>
      </c>
      <c r="J19" s="4">
        <v>342194599</v>
      </c>
      <c r="K19" s="4">
        <v>489799049</v>
      </c>
      <c r="L19" s="4">
        <v>728079463</v>
      </c>
      <c r="M19" s="4">
        <v>530623553</v>
      </c>
      <c r="N19" s="4">
        <v>510126833</v>
      </c>
      <c r="O19" s="4">
        <v>569929781</v>
      </c>
      <c r="P19" s="4">
        <v>390690449</v>
      </c>
      <c r="Q19" s="4">
        <v>497718901</v>
      </c>
      <c r="R19" s="4">
        <v>492510943</v>
      </c>
      <c r="S19" s="4">
        <v>993366289</v>
      </c>
      <c r="T19" s="4">
        <v>730529069</v>
      </c>
      <c r="U19" s="4">
        <v>442622821</v>
      </c>
    </row>
    <row r="20" spans="1:22">
      <c r="A20" t="s">
        <v>1</v>
      </c>
      <c r="B20" s="2">
        <v>806511</v>
      </c>
      <c r="C20" s="2">
        <v>180412</v>
      </c>
      <c r="D20" s="2">
        <v>340608</v>
      </c>
      <c r="E20" s="2">
        <v>303480</v>
      </c>
      <c r="F20" s="2">
        <v>305754</v>
      </c>
      <c r="G20" s="2">
        <v>340936</v>
      </c>
      <c r="H20" s="2">
        <v>298170</v>
      </c>
      <c r="I20" s="2">
        <v>188203</v>
      </c>
      <c r="J20" s="2">
        <v>179691</v>
      </c>
      <c r="K20" s="2">
        <v>327030</v>
      </c>
      <c r="L20" s="2">
        <v>291935</v>
      </c>
      <c r="M20" s="2">
        <v>456326</v>
      </c>
      <c r="N20" s="2">
        <v>418372</v>
      </c>
      <c r="O20" s="2">
        <v>407672</v>
      </c>
      <c r="P20" s="2">
        <v>263098</v>
      </c>
      <c r="Q20" s="2">
        <v>2175710</v>
      </c>
      <c r="R20" s="2">
        <v>483442</v>
      </c>
      <c r="S20" s="2">
        <v>22841</v>
      </c>
      <c r="T20" s="2">
        <v>317026</v>
      </c>
      <c r="U20" s="2">
        <v>303841</v>
      </c>
      <c r="V20">
        <f>AVERAGE(B20:U20)</f>
        <v>420552.9</v>
      </c>
    </row>
    <row r="21" spans="1:22">
      <c r="Q21" s="6">
        <v>2175710</v>
      </c>
    </row>
    <row r="22" spans="1:22">
      <c r="A22" t="s">
        <v>2</v>
      </c>
    </row>
    <row r="23" spans="1:22">
      <c r="A23" t="s">
        <v>3</v>
      </c>
    </row>
    <row r="24" spans="1:22">
      <c r="A24" t="s">
        <v>4</v>
      </c>
    </row>
    <row r="27" spans="1:22">
      <c r="A27" t="s">
        <v>5</v>
      </c>
    </row>
    <row r="28" spans="1:22">
      <c r="A28" t="s">
        <v>6</v>
      </c>
    </row>
    <row r="29" spans="1:22">
      <c r="A29" t="s">
        <v>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海杰 徐</dc:creator>
  <cp:lastModifiedBy>海杰 徐</cp:lastModifiedBy>
  <dcterms:created xsi:type="dcterms:W3CDTF">2025-05-21T01:52:46Z</dcterms:created>
  <dcterms:modified xsi:type="dcterms:W3CDTF">2025-05-22T10:13:15Z</dcterms:modified>
</cp:coreProperties>
</file>